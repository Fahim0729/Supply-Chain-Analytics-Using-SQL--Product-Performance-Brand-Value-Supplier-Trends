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QL_ABC\1. Portfolio_SQL\1. Data_portfolio\xlsx\"/>
    </mc:Choice>
  </mc:AlternateContent>
  <xr:revisionPtr revIDLastSave="0" documentId="13_ncr:1_{CA09DC71-E2BD-46F2-BB20-8DE2035A19BE}" xr6:coauthVersionLast="47" xr6:coauthVersionMax="47" xr10:uidLastSave="{00000000-0000-0000-0000-000000000000}"/>
  <bookViews>
    <workbookView xWindow="-468" yWindow="300" windowWidth="14184" windowHeight="9960" xr2:uid="{9BC14886-94C7-49E5-828B-7236B59DE2C2}"/>
  </bookViews>
  <sheets>
    <sheet name="Fact_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E40" i="1"/>
  <c r="E39" i="1"/>
  <c r="E38" i="1"/>
  <c r="E37" i="1"/>
  <c r="E36" i="1"/>
  <c r="E35" i="1"/>
  <c r="E34" i="1"/>
  <c r="E33" i="1"/>
  <c r="E32" i="1"/>
  <c r="F21" i="1"/>
  <c r="F31" i="1" s="1"/>
  <c r="F41" i="1" s="1"/>
  <c r="F20" i="1"/>
  <c r="F19" i="1"/>
  <c r="F18" i="1"/>
  <c r="F17" i="1"/>
  <c r="F16" i="1"/>
  <c r="F26" i="1" s="1"/>
  <c r="F36" i="1" s="1"/>
  <c r="F15" i="1"/>
  <c r="F14" i="1"/>
  <c r="F24" i="1" s="1"/>
  <c r="F34" i="1" s="1"/>
  <c r="F13" i="1"/>
  <c r="F23" i="1" s="1"/>
  <c r="F33" i="1" s="1"/>
  <c r="F27" i="1"/>
  <c r="F37" i="1" s="1"/>
  <c r="F28" i="1"/>
  <c r="F38" i="1" s="1"/>
  <c r="F29" i="1"/>
  <c r="F39" i="1" s="1"/>
  <c r="F30" i="1"/>
  <c r="F40" i="1" s="1"/>
  <c r="F25" i="1"/>
  <c r="F35" i="1" s="1"/>
  <c r="F12" i="1"/>
  <c r="G13" i="1"/>
  <c r="G23" i="1" s="1"/>
  <c r="G33" i="1" s="1"/>
  <c r="G14" i="1"/>
  <c r="G24" i="1" s="1"/>
  <c r="G34" i="1" s="1"/>
  <c r="G15" i="1"/>
  <c r="G16" i="1"/>
  <c r="G17" i="1"/>
  <c r="G18" i="1"/>
  <c r="G19" i="1"/>
  <c r="G29" i="1" s="1"/>
  <c r="G39" i="1" s="1"/>
  <c r="G20" i="1"/>
  <c r="G21" i="1"/>
  <c r="G31" i="1" s="1"/>
  <c r="G41" i="1" s="1"/>
  <c r="G22" i="1"/>
  <c r="G25" i="1"/>
  <c r="G35" i="1" s="1"/>
  <c r="G26" i="1"/>
  <c r="G36" i="1" s="1"/>
  <c r="G27" i="1"/>
  <c r="G28" i="1"/>
  <c r="G30" i="1"/>
  <c r="G32" i="1"/>
  <c r="G37" i="1"/>
  <c r="G38" i="1"/>
  <c r="G40" i="1"/>
  <c r="G12" i="1"/>
  <c r="F22" i="1"/>
  <c r="F32" i="1" s="1"/>
  <c r="E13" i="1"/>
  <c r="E14" i="1"/>
  <c r="E15" i="1"/>
  <c r="E25" i="1" s="1"/>
  <c r="E16" i="1"/>
  <c r="E26" i="1" s="1"/>
  <c r="E17" i="1"/>
  <c r="E27" i="1" s="1"/>
  <c r="E18" i="1"/>
  <c r="E28" i="1" s="1"/>
  <c r="E19" i="1"/>
  <c r="E29" i="1" s="1"/>
  <c r="E20" i="1"/>
  <c r="E30" i="1" s="1"/>
  <c r="E21" i="1"/>
  <c r="E31" i="1" s="1"/>
  <c r="E12" i="1"/>
  <c r="E23" i="1"/>
  <c r="E24" i="1"/>
  <c r="E2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12" i="1"/>
  <c r="D32" i="1"/>
  <c r="D33" i="1"/>
  <c r="D34" i="1"/>
  <c r="D35" i="1"/>
  <c r="D36" i="1"/>
  <c r="D37" i="1"/>
  <c r="D38" i="1"/>
  <c r="D39" i="1"/>
  <c r="D40" i="1"/>
  <c r="D41" i="1"/>
  <c r="D4" i="1"/>
  <c r="D5" i="1"/>
  <c r="D6" i="1"/>
  <c r="D7" i="1"/>
  <c r="D8" i="1"/>
  <c r="D9" i="1"/>
  <c r="D10" i="1"/>
  <c r="D11" i="1"/>
  <c r="D12" i="1"/>
  <c r="D13" i="1"/>
  <c r="D14" i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" i="1"/>
  <c r="A4" i="1"/>
  <c r="A5" i="1"/>
  <c r="A6" i="1"/>
  <c r="A7" i="1"/>
  <c r="A8" i="1" s="1"/>
  <c r="A9" i="1" s="1"/>
  <c r="A10" i="1" s="1"/>
  <c r="A11" i="1" s="1"/>
  <c r="A3" i="1"/>
</calcChain>
</file>

<file path=xl/sharedStrings.xml><?xml version="1.0" encoding="utf-8"?>
<sst xmlns="http://schemas.openxmlformats.org/spreadsheetml/2006/main" count="47" uniqueCount="17">
  <si>
    <t>Stock_ID</t>
  </si>
  <si>
    <t>Product_ID</t>
  </si>
  <si>
    <t>SupplierName</t>
  </si>
  <si>
    <t>ReceivedQty</t>
  </si>
  <si>
    <t>shelf_quantity</t>
  </si>
  <si>
    <t>Sold Qty</t>
  </si>
  <si>
    <t>SENNHEISER</t>
  </si>
  <si>
    <t>SONY</t>
  </si>
  <si>
    <t>JVC</t>
  </si>
  <si>
    <t>HAMA</t>
  </si>
  <si>
    <t>VIV</t>
  </si>
  <si>
    <t>TOSHIBA</t>
  </si>
  <si>
    <t>MSCS</t>
  </si>
  <si>
    <t>ENE</t>
  </si>
  <si>
    <t>CANON</t>
  </si>
  <si>
    <t>Current_Date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</si>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</sst>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AF3C-7141-4533-A531-D7D5B7C06770}">
  <dimension ref="A1:N41"/>
  <sheetViews>
    <sheetView tabSelected="1" topLeftCell="A27" workbookViewId="0">
      <selection activeCell="E32" sqref="E32:E41"/>
    </sheetView>
  </sheetViews>
  <sheetFormatPr defaultRowHeight="14.4" x14ac:dyDescent="0.3"/>
  <cols>
    <col min="4" max="4" width="10.33203125" bestFit="1" customWidth="1"/>
    <col min="5" max="5" width="11" bestFit="1" customWidth="1"/>
    <col min="6" max="6" width="12" bestFit="1" customWidth="1"/>
    <col min="14" max="14" width="10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15</v>
      </c>
      <c r="E1" t="s">
        <v>3</v>
      </c>
      <c r="F1" t="s">
        <v>4</v>
      </c>
      <c r="G1" t="s">
        <v>5</v>
      </c>
    </row>
    <row r="2" spans="1:14" x14ac:dyDescent="0.3">
      <c r="A2">
        <v>1265</v>
      </c>
      <c r="B2">
        <v>111213</v>
      </c>
      <c r="C2" s="2" t="s">
        <v>6</v>
      </c>
      <c r="D2" s="1">
        <v>45660</v>
      </c>
      <c r="E2">
        <v>20</v>
      </c>
      <c r="F2">
        <v>50</v>
      </c>
      <c r="G2">
        <v>25</v>
      </c>
      <c r="N2" s="1"/>
    </row>
    <row r="3" spans="1:14" x14ac:dyDescent="0.3">
      <c r="A3">
        <f>A2+2656</f>
        <v>3921</v>
      </c>
      <c r="B3">
        <v>111270</v>
      </c>
      <c r="C3" s="2" t="s">
        <v>7</v>
      </c>
      <c r="D3" s="1">
        <f>D2+9</f>
        <v>45669</v>
      </c>
      <c r="E3">
        <v>26</v>
      </c>
      <c r="F3">
        <v>46</v>
      </c>
      <c r="G3">
        <v>23</v>
      </c>
      <c r="N3" s="1"/>
    </row>
    <row r="4" spans="1:14" x14ac:dyDescent="0.3">
      <c r="A4">
        <f t="shared" ref="A4:A11" si="0">A3+2656</f>
        <v>6577</v>
      </c>
      <c r="B4">
        <v>111327</v>
      </c>
      <c r="C4" s="2" t="s">
        <v>8</v>
      </c>
      <c r="D4" s="1">
        <f t="shared" ref="D4:D41" si="1">D3+9</f>
        <v>45678</v>
      </c>
      <c r="E4">
        <v>32</v>
      </c>
      <c r="F4">
        <v>42</v>
      </c>
      <c r="G4">
        <v>21</v>
      </c>
    </row>
    <row r="5" spans="1:14" x14ac:dyDescent="0.3">
      <c r="A5">
        <f t="shared" si="0"/>
        <v>9233</v>
      </c>
      <c r="B5">
        <v>111384</v>
      </c>
      <c r="C5" s="2" t="s">
        <v>9</v>
      </c>
      <c r="D5" s="1">
        <f t="shared" si="1"/>
        <v>45687</v>
      </c>
      <c r="E5">
        <v>38</v>
      </c>
      <c r="F5">
        <v>38</v>
      </c>
      <c r="G5">
        <v>19</v>
      </c>
    </row>
    <row r="6" spans="1:14" x14ac:dyDescent="0.3">
      <c r="A6">
        <f t="shared" si="0"/>
        <v>11889</v>
      </c>
      <c r="B6">
        <v>111441</v>
      </c>
      <c r="C6" s="2" t="s">
        <v>10</v>
      </c>
      <c r="D6" s="1">
        <f t="shared" si="1"/>
        <v>45696</v>
      </c>
      <c r="E6">
        <v>44</v>
      </c>
      <c r="F6">
        <v>34</v>
      </c>
      <c r="G6">
        <v>17</v>
      </c>
    </row>
    <row r="7" spans="1:14" x14ac:dyDescent="0.3">
      <c r="A7">
        <f t="shared" si="0"/>
        <v>14545</v>
      </c>
      <c r="B7">
        <v>111498</v>
      </c>
      <c r="C7" s="2" t="s">
        <v>11</v>
      </c>
      <c r="D7" s="1">
        <f t="shared" si="1"/>
        <v>45705</v>
      </c>
      <c r="E7">
        <v>50</v>
      </c>
      <c r="F7">
        <v>30</v>
      </c>
      <c r="G7">
        <v>15</v>
      </c>
    </row>
    <row r="8" spans="1:14" x14ac:dyDescent="0.3">
      <c r="A8">
        <f t="shared" si="0"/>
        <v>17201</v>
      </c>
      <c r="B8">
        <v>111555</v>
      </c>
      <c r="C8" s="2" t="s">
        <v>12</v>
      </c>
      <c r="D8" s="1">
        <f t="shared" si="1"/>
        <v>45714</v>
      </c>
      <c r="E8">
        <v>56</v>
      </c>
      <c r="F8">
        <v>26</v>
      </c>
      <c r="G8">
        <v>13</v>
      </c>
    </row>
    <row r="9" spans="1:14" x14ac:dyDescent="0.3">
      <c r="A9">
        <f t="shared" si="0"/>
        <v>19857</v>
      </c>
      <c r="B9">
        <v>111612</v>
      </c>
      <c r="C9" s="2" t="s">
        <v>13</v>
      </c>
      <c r="D9" s="1">
        <f t="shared" si="1"/>
        <v>45723</v>
      </c>
      <c r="E9">
        <v>62</v>
      </c>
      <c r="F9">
        <v>22</v>
      </c>
      <c r="G9">
        <v>11</v>
      </c>
    </row>
    <row r="10" spans="1:14" x14ac:dyDescent="0.3">
      <c r="A10">
        <f t="shared" si="0"/>
        <v>22513</v>
      </c>
      <c r="B10">
        <v>111669</v>
      </c>
      <c r="C10" s="2" t="s">
        <v>14</v>
      </c>
      <c r="D10" s="1">
        <f t="shared" si="1"/>
        <v>45732</v>
      </c>
      <c r="E10">
        <v>60</v>
      </c>
      <c r="F10">
        <v>14</v>
      </c>
      <c r="G10">
        <v>9</v>
      </c>
    </row>
    <row r="11" spans="1:14" x14ac:dyDescent="0.3">
      <c r="A11">
        <f t="shared" si="0"/>
        <v>25169</v>
      </c>
      <c r="B11">
        <v>111726</v>
      </c>
      <c r="C11" s="2" t="s">
        <v>16</v>
      </c>
      <c r="D11" s="1">
        <f t="shared" si="1"/>
        <v>45741</v>
      </c>
      <c r="E11">
        <v>70</v>
      </c>
      <c r="F11">
        <v>10</v>
      </c>
      <c r="G11">
        <v>7</v>
      </c>
    </row>
    <row r="12" spans="1:14" x14ac:dyDescent="0.3">
      <c r="A12">
        <f xml:space="preserve"> A11+27</f>
        <v>25196</v>
      </c>
      <c r="B12">
        <v>111213</v>
      </c>
      <c r="C12" t="s">
        <v>6</v>
      </c>
      <c r="D12" s="1">
        <f t="shared" si="1"/>
        <v>45750</v>
      </c>
      <c r="E12">
        <f>E2-5</f>
        <v>15</v>
      </c>
      <c r="F12">
        <f>F2-5</f>
        <v>45</v>
      </c>
      <c r="G12">
        <f>G2+2</f>
        <v>27</v>
      </c>
    </row>
    <row r="13" spans="1:14" x14ac:dyDescent="0.3">
      <c r="A13">
        <f t="shared" ref="A13:A41" si="2" xml:space="preserve"> A12+27</f>
        <v>25223</v>
      </c>
      <c r="B13">
        <v>111270</v>
      </c>
      <c r="C13" t="s">
        <v>7</v>
      </c>
      <c r="D13" s="1">
        <f t="shared" si="1"/>
        <v>45759</v>
      </c>
      <c r="E13">
        <f t="shared" ref="E13:F21" si="3">E3-5</f>
        <v>21</v>
      </c>
      <c r="F13">
        <f t="shared" si="3"/>
        <v>41</v>
      </c>
      <c r="G13">
        <f t="shared" ref="G13:G41" si="4">G3+2</f>
        <v>25</v>
      </c>
    </row>
    <row r="14" spans="1:14" x14ac:dyDescent="0.3">
      <c r="A14">
        <f t="shared" si="2"/>
        <v>25250</v>
      </c>
      <c r="B14">
        <v>111327</v>
      </c>
      <c r="C14" t="s">
        <v>8</v>
      </c>
      <c r="D14" s="1">
        <f t="shared" si="1"/>
        <v>45768</v>
      </c>
      <c r="E14">
        <f t="shared" si="3"/>
        <v>27</v>
      </c>
      <c r="F14">
        <f t="shared" si="3"/>
        <v>37</v>
      </c>
      <c r="G14">
        <f t="shared" si="4"/>
        <v>23</v>
      </c>
    </row>
    <row r="15" spans="1:14" x14ac:dyDescent="0.3">
      <c r="A15">
        <f t="shared" si="2"/>
        <v>25277</v>
      </c>
      <c r="B15">
        <v>111384</v>
      </c>
      <c r="C15" t="s">
        <v>9</v>
      </c>
      <c r="D15" s="1">
        <f t="shared" si="1"/>
        <v>45777</v>
      </c>
      <c r="E15">
        <f t="shared" si="3"/>
        <v>33</v>
      </c>
      <c r="F15">
        <f t="shared" si="3"/>
        <v>33</v>
      </c>
      <c r="G15">
        <f t="shared" si="4"/>
        <v>21</v>
      </c>
    </row>
    <row r="16" spans="1:14" x14ac:dyDescent="0.3">
      <c r="A16">
        <f t="shared" si="2"/>
        <v>25304</v>
      </c>
      <c r="B16">
        <v>111441</v>
      </c>
      <c r="C16" t="s">
        <v>10</v>
      </c>
      <c r="D16" s="1">
        <f t="shared" si="1"/>
        <v>45786</v>
      </c>
      <c r="E16">
        <f t="shared" si="3"/>
        <v>39</v>
      </c>
      <c r="F16">
        <f t="shared" si="3"/>
        <v>29</v>
      </c>
      <c r="G16">
        <f t="shared" si="4"/>
        <v>19</v>
      </c>
    </row>
    <row r="17" spans="1:7" x14ac:dyDescent="0.3">
      <c r="A17">
        <f t="shared" si="2"/>
        <v>25331</v>
      </c>
      <c r="B17">
        <v>111498</v>
      </c>
      <c r="C17" t="s">
        <v>11</v>
      </c>
      <c r="D17" s="1">
        <f t="shared" si="1"/>
        <v>45795</v>
      </c>
      <c r="E17">
        <f t="shared" si="3"/>
        <v>45</v>
      </c>
      <c r="F17">
        <f t="shared" si="3"/>
        <v>25</v>
      </c>
      <c r="G17">
        <f t="shared" si="4"/>
        <v>17</v>
      </c>
    </row>
    <row r="18" spans="1:7" x14ac:dyDescent="0.3">
      <c r="A18">
        <f t="shared" si="2"/>
        <v>25358</v>
      </c>
      <c r="B18">
        <v>111555</v>
      </c>
      <c r="C18" t="s">
        <v>12</v>
      </c>
      <c r="D18" s="1">
        <f t="shared" si="1"/>
        <v>45804</v>
      </c>
      <c r="E18">
        <f t="shared" si="3"/>
        <v>51</v>
      </c>
      <c r="F18">
        <f t="shared" si="3"/>
        <v>21</v>
      </c>
      <c r="G18">
        <f t="shared" si="4"/>
        <v>15</v>
      </c>
    </row>
    <row r="19" spans="1:7" x14ac:dyDescent="0.3">
      <c r="A19">
        <f t="shared" si="2"/>
        <v>25385</v>
      </c>
      <c r="B19">
        <v>111612</v>
      </c>
      <c r="C19" t="s">
        <v>13</v>
      </c>
      <c r="D19" s="1">
        <f t="shared" si="1"/>
        <v>45813</v>
      </c>
      <c r="E19">
        <f t="shared" si="3"/>
        <v>57</v>
      </c>
      <c r="F19">
        <f t="shared" si="3"/>
        <v>17</v>
      </c>
      <c r="G19">
        <f t="shared" si="4"/>
        <v>13</v>
      </c>
    </row>
    <row r="20" spans="1:7" x14ac:dyDescent="0.3">
      <c r="A20">
        <f t="shared" si="2"/>
        <v>25412</v>
      </c>
      <c r="B20">
        <v>111669</v>
      </c>
      <c r="C20" t="s">
        <v>14</v>
      </c>
      <c r="D20" s="1">
        <f t="shared" si="1"/>
        <v>45822</v>
      </c>
      <c r="E20">
        <f t="shared" si="3"/>
        <v>55</v>
      </c>
      <c r="F20">
        <f t="shared" si="3"/>
        <v>9</v>
      </c>
      <c r="G20">
        <f t="shared" si="4"/>
        <v>11</v>
      </c>
    </row>
    <row r="21" spans="1:7" x14ac:dyDescent="0.3">
      <c r="A21">
        <f t="shared" si="2"/>
        <v>25439</v>
      </c>
      <c r="B21">
        <v>111726</v>
      </c>
      <c r="C21" t="s">
        <v>16</v>
      </c>
      <c r="D21" s="1">
        <f t="shared" si="1"/>
        <v>45831</v>
      </c>
      <c r="E21">
        <f t="shared" si="3"/>
        <v>65</v>
      </c>
      <c r="F21">
        <f t="shared" si="3"/>
        <v>5</v>
      </c>
      <c r="G21">
        <f t="shared" si="4"/>
        <v>9</v>
      </c>
    </row>
    <row r="22" spans="1:7" x14ac:dyDescent="0.3">
      <c r="A22">
        <f t="shared" si="2"/>
        <v>25466</v>
      </c>
      <c r="B22">
        <v>111213</v>
      </c>
      <c r="C22" s="2" t="s">
        <v>6</v>
      </c>
      <c r="D22" s="1">
        <f t="shared" si="1"/>
        <v>45840</v>
      </c>
      <c r="E22">
        <f>E12+5</f>
        <v>20</v>
      </c>
      <c r="F22">
        <f>F12+5</f>
        <v>50</v>
      </c>
      <c r="G22">
        <f t="shared" si="4"/>
        <v>29</v>
      </c>
    </row>
    <row r="23" spans="1:7" x14ac:dyDescent="0.3">
      <c r="A23">
        <f t="shared" si="2"/>
        <v>25493</v>
      </c>
      <c r="B23">
        <v>111270</v>
      </c>
      <c r="C23" s="2" t="s">
        <v>7</v>
      </c>
      <c r="D23" s="1">
        <f t="shared" si="1"/>
        <v>45849</v>
      </c>
      <c r="E23">
        <f t="shared" ref="E23:F31" si="5">E13+5</f>
        <v>26</v>
      </c>
      <c r="F23">
        <f t="shared" si="5"/>
        <v>46</v>
      </c>
      <c r="G23">
        <f t="shared" si="4"/>
        <v>27</v>
      </c>
    </row>
    <row r="24" spans="1:7" x14ac:dyDescent="0.3">
      <c r="A24">
        <f t="shared" si="2"/>
        <v>25520</v>
      </c>
      <c r="B24">
        <v>111327</v>
      </c>
      <c r="C24" s="2" t="s">
        <v>8</v>
      </c>
      <c r="D24" s="1">
        <f t="shared" si="1"/>
        <v>45858</v>
      </c>
      <c r="E24">
        <f t="shared" si="5"/>
        <v>32</v>
      </c>
      <c r="F24">
        <f t="shared" si="5"/>
        <v>42</v>
      </c>
      <c r="G24">
        <f t="shared" si="4"/>
        <v>25</v>
      </c>
    </row>
    <row r="25" spans="1:7" x14ac:dyDescent="0.3">
      <c r="A25">
        <f t="shared" si="2"/>
        <v>25547</v>
      </c>
      <c r="B25">
        <v>111384</v>
      </c>
      <c r="C25" s="2" t="s">
        <v>9</v>
      </c>
      <c r="D25" s="1">
        <f t="shared" si="1"/>
        <v>45867</v>
      </c>
      <c r="E25">
        <f t="shared" si="5"/>
        <v>38</v>
      </c>
      <c r="F25">
        <f t="shared" si="5"/>
        <v>38</v>
      </c>
      <c r="G25">
        <f t="shared" si="4"/>
        <v>23</v>
      </c>
    </row>
    <row r="26" spans="1:7" x14ac:dyDescent="0.3">
      <c r="A26">
        <f t="shared" si="2"/>
        <v>25574</v>
      </c>
      <c r="B26">
        <v>111441</v>
      </c>
      <c r="C26" s="2" t="s">
        <v>10</v>
      </c>
      <c r="D26" s="1">
        <f t="shared" si="1"/>
        <v>45876</v>
      </c>
      <c r="E26">
        <f t="shared" si="5"/>
        <v>44</v>
      </c>
      <c r="F26">
        <f t="shared" si="5"/>
        <v>34</v>
      </c>
      <c r="G26">
        <f t="shared" si="4"/>
        <v>21</v>
      </c>
    </row>
    <row r="27" spans="1:7" x14ac:dyDescent="0.3">
      <c r="A27">
        <f t="shared" si="2"/>
        <v>25601</v>
      </c>
      <c r="B27">
        <v>111498</v>
      </c>
      <c r="C27" s="2" t="s">
        <v>11</v>
      </c>
      <c r="D27" s="1">
        <f t="shared" si="1"/>
        <v>45885</v>
      </c>
      <c r="E27">
        <f t="shared" si="5"/>
        <v>50</v>
      </c>
      <c r="F27">
        <f t="shared" si="5"/>
        <v>30</v>
      </c>
      <c r="G27">
        <f t="shared" si="4"/>
        <v>19</v>
      </c>
    </row>
    <row r="28" spans="1:7" x14ac:dyDescent="0.3">
      <c r="A28">
        <f t="shared" si="2"/>
        <v>25628</v>
      </c>
      <c r="B28">
        <v>111555</v>
      </c>
      <c r="C28" s="2" t="s">
        <v>12</v>
      </c>
      <c r="D28" s="1">
        <f t="shared" si="1"/>
        <v>45894</v>
      </c>
      <c r="E28">
        <f t="shared" si="5"/>
        <v>56</v>
      </c>
      <c r="F28">
        <f t="shared" si="5"/>
        <v>26</v>
      </c>
      <c r="G28">
        <f t="shared" si="4"/>
        <v>17</v>
      </c>
    </row>
    <row r="29" spans="1:7" x14ac:dyDescent="0.3">
      <c r="A29">
        <f t="shared" si="2"/>
        <v>25655</v>
      </c>
      <c r="B29">
        <v>111612</v>
      </c>
      <c r="C29" s="2" t="s">
        <v>13</v>
      </c>
      <c r="D29" s="1">
        <f t="shared" si="1"/>
        <v>45903</v>
      </c>
      <c r="E29">
        <f t="shared" si="5"/>
        <v>62</v>
      </c>
      <c r="F29">
        <f t="shared" si="5"/>
        <v>22</v>
      </c>
      <c r="G29">
        <f t="shared" si="4"/>
        <v>15</v>
      </c>
    </row>
    <row r="30" spans="1:7" x14ac:dyDescent="0.3">
      <c r="A30">
        <f t="shared" si="2"/>
        <v>25682</v>
      </c>
      <c r="B30">
        <v>111669</v>
      </c>
      <c r="C30" s="2" t="s">
        <v>14</v>
      </c>
      <c r="D30" s="1">
        <f t="shared" si="1"/>
        <v>45912</v>
      </c>
      <c r="E30">
        <f t="shared" si="5"/>
        <v>60</v>
      </c>
      <c r="F30">
        <f t="shared" si="5"/>
        <v>14</v>
      </c>
      <c r="G30">
        <f t="shared" si="4"/>
        <v>13</v>
      </c>
    </row>
    <row r="31" spans="1:7" x14ac:dyDescent="0.3">
      <c r="A31">
        <f t="shared" si="2"/>
        <v>25709</v>
      </c>
      <c r="B31">
        <v>111726</v>
      </c>
      <c r="C31" s="2" t="s">
        <v>16</v>
      </c>
      <c r="D31" s="1">
        <f t="shared" si="1"/>
        <v>45921</v>
      </c>
      <c r="E31">
        <f t="shared" si="5"/>
        <v>70</v>
      </c>
      <c r="F31">
        <f t="shared" si="5"/>
        <v>10</v>
      </c>
      <c r="G31">
        <f t="shared" si="4"/>
        <v>11</v>
      </c>
    </row>
    <row r="32" spans="1:7" x14ac:dyDescent="0.3">
      <c r="A32">
        <f t="shared" si="2"/>
        <v>25736</v>
      </c>
      <c r="B32">
        <v>111213</v>
      </c>
      <c r="C32" t="s">
        <v>6</v>
      </c>
      <c r="D32" s="1">
        <f t="shared" si="1"/>
        <v>45930</v>
      </c>
      <c r="E32">
        <f>E22+9</f>
        <v>29</v>
      </c>
      <c r="F32">
        <f>F22+7</f>
        <v>57</v>
      </c>
      <c r="G32">
        <f t="shared" si="4"/>
        <v>31</v>
      </c>
    </row>
    <row r="33" spans="1:7" x14ac:dyDescent="0.3">
      <c r="A33">
        <f t="shared" si="2"/>
        <v>25763</v>
      </c>
      <c r="B33">
        <v>111270</v>
      </c>
      <c r="C33" t="s">
        <v>7</v>
      </c>
      <c r="D33" s="1">
        <f t="shared" si="1"/>
        <v>45939</v>
      </c>
      <c r="E33">
        <f>E23+7</f>
        <v>33</v>
      </c>
      <c r="F33">
        <f t="shared" ref="F33:F41" si="6">F23+7</f>
        <v>53</v>
      </c>
      <c r="G33">
        <f t="shared" si="4"/>
        <v>29</v>
      </c>
    </row>
    <row r="34" spans="1:7" x14ac:dyDescent="0.3">
      <c r="A34">
        <f t="shared" si="2"/>
        <v>25790</v>
      </c>
      <c r="B34">
        <v>111327</v>
      </c>
      <c r="C34" t="s">
        <v>8</v>
      </c>
      <c r="D34" s="1">
        <f t="shared" si="1"/>
        <v>45948</v>
      </c>
      <c r="E34">
        <f>E24+12</f>
        <v>44</v>
      </c>
      <c r="F34">
        <f t="shared" si="6"/>
        <v>49</v>
      </c>
      <c r="G34">
        <f t="shared" si="4"/>
        <v>27</v>
      </c>
    </row>
    <row r="35" spans="1:7" x14ac:dyDescent="0.3">
      <c r="A35">
        <f t="shared" si="2"/>
        <v>25817</v>
      </c>
      <c r="B35">
        <v>111384</v>
      </c>
      <c r="C35" t="s">
        <v>9</v>
      </c>
      <c r="D35" s="1">
        <f t="shared" si="1"/>
        <v>45957</v>
      </c>
      <c r="E35">
        <f>E25+2</f>
        <v>40</v>
      </c>
      <c r="F35">
        <f t="shared" si="6"/>
        <v>45</v>
      </c>
      <c r="G35">
        <f t="shared" si="4"/>
        <v>25</v>
      </c>
    </row>
    <row r="36" spans="1:7" x14ac:dyDescent="0.3">
      <c r="A36">
        <f t="shared" si="2"/>
        <v>25844</v>
      </c>
      <c r="B36">
        <v>111441</v>
      </c>
      <c r="C36" t="s">
        <v>10</v>
      </c>
      <c r="D36" s="1">
        <f t="shared" si="1"/>
        <v>45966</v>
      </c>
      <c r="E36">
        <f>E26-3</f>
        <v>41</v>
      </c>
      <c r="F36">
        <f t="shared" si="6"/>
        <v>41</v>
      </c>
      <c r="G36">
        <f t="shared" si="4"/>
        <v>23</v>
      </c>
    </row>
    <row r="37" spans="1:7" x14ac:dyDescent="0.3">
      <c r="A37">
        <f t="shared" si="2"/>
        <v>25871</v>
      </c>
      <c r="B37">
        <v>111498</v>
      </c>
      <c r="C37" t="s">
        <v>11</v>
      </c>
      <c r="D37" s="1">
        <f t="shared" si="1"/>
        <v>45975</v>
      </c>
      <c r="E37">
        <f>E27+14</f>
        <v>64</v>
      </c>
      <c r="F37">
        <f t="shared" si="6"/>
        <v>37</v>
      </c>
      <c r="G37">
        <f t="shared" si="4"/>
        <v>21</v>
      </c>
    </row>
    <row r="38" spans="1:7" x14ac:dyDescent="0.3">
      <c r="A38">
        <f t="shared" si="2"/>
        <v>25898</v>
      </c>
      <c r="B38">
        <v>111555</v>
      </c>
      <c r="C38" t="s">
        <v>12</v>
      </c>
      <c r="D38" s="1">
        <f t="shared" si="1"/>
        <v>45984</v>
      </c>
      <c r="E38">
        <f>E28+5</f>
        <v>61</v>
      </c>
      <c r="F38">
        <f t="shared" si="6"/>
        <v>33</v>
      </c>
      <c r="G38">
        <f t="shared" si="4"/>
        <v>19</v>
      </c>
    </row>
    <row r="39" spans="1:7" x14ac:dyDescent="0.3">
      <c r="A39">
        <f t="shared" si="2"/>
        <v>25925</v>
      </c>
      <c r="B39">
        <v>111612</v>
      </c>
      <c r="C39" t="s">
        <v>13</v>
      </c>
      <c r="D39" s="1">
        <f t="shared" si="1"/>
        <v>45993</v>
      </c>
      <c r="E39">
        <f>E29+15</f>
        <v>77</v>
      </c>
      <c r="F39">
        <f t="shared" si="6"/>
        <v>29</v>
      </c>
      <c r="G39">
        <f t="shared" si="4"/>
        <v>17</v>
      </c>
    </row>
    <row r="40" spans="1:7" x14ac:dyDescent="0.3">
      <c r="A40">
        <f t="shared" si="2"/>
        <v>25952</v>
      </c>
      <c r="B40">
        <v>111669</v>
      </c>
      <c r="C40" t="s">
        <v>14</v>
      </c>
      <c r="D40" s="1">
        <f t="shared" si="1"/>
        <v>46002</v>
      </c>
      <c r="E40">
        <f>E30+10</f>
        <v>70</v>
      </c>
      <c r="F40">
        <f t="shared" si="6"/>
        <v>21</v>
      </c>
      <c r="G40">
        <f t="shared" si="4"/>
        <v>15</v>
      </c>
    </row>
    <row r="41" spans="1:7" x14ac:dyDescent="0.3">
      <c r="A41">
        <f t="shared" si="2"/>
        <v>25979</v>
      </c>
      <c r="B41">
        <v>111726</v>
      </c>
      <c r="C41" t="s">
        <v>16</v>
      </c>
      <c r="D41" s="1">
        <f t="shared" si="1"/>
        <v>46011</v>
      </c>
      <c r="E41">
        <f>E31+20</f>
        <v>90</v>
      </c>
      <c r="F41">
        <f t="shared" si="6"/>
        <v>17</v>
      </c>
      <c r="G41">
        <f t="shared" si="4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Fahim Hossain</cp:lastModifiedBy>
  <dcterms:created xsi:type="dcterms:W3CDTF">2026-02-07T11:42:01Z</dcterms:created>
  <dcterms:modified xsi:type="dcterms:W3CDTF">2026-02-15T11:00:54Z</dcterms:modified>
</cp:coreProperties>
</file>